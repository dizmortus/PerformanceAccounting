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Coursework\PerformanceAccounting\"/>
    </mc:Choice>
  </mc:AlternateContent>
  <xr:revisionPtr revIDLastSave="0" documentId="13_ncr:1_{3614D37E-32DB-4777-9970-7FACEBB6D3B3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7" i="1" l="1"/>
  <c r="A74" i="1"/>
  <c r="B22" i="1"/>
  <c r="B27" i="1" s="1"/>
  <c r="B15" i="1"/>
  <c r="B57" i="1"/>
  <c r="B58" i="1" s="1"/>
  <c r="B7" i="1"/>
  <c r="B8" i="1"/>
  <c r="B9" i="1"/>
  <c r="B10" i="1"/>
  <c r="B11" i="1"/>
  <c r="B12" i="1" s="1"/>
  <c r="B23" i="1"/>
  <c r="B24" i="1"/>
  <c r="E61" i="1" s="1"/>
  <c r="B25" i="1"/>
  <c r="B26" i="1"/>
  <c r="D26" i="1"/>
  <c r="A5" i="1"/>
  <c r="B13" i="1" l="1"/>
  <c r="B16" i="1" s="1"/>
  <c r="E57" i="1"/>
  <c r="B59" i="1"/>
  <c r="B28" i="1"/>
  <c r="B64" i="1"/>
  <c r="B29" i="1" l="1"/>
  <c r="B30" i="1" s="1"/>
  <c r="B31" i="1" s="1"/>
  <c r="E59" i="1" s="1"/>
  <c r="B63" i="1" s="1"/>
  <c r="B60" i="1"/>
  <c r="B61" i="1" s="1"/>
  <c r="B62" i="1" s="1"/>
  <c r="B65" i="1" l="1"/>
  <c r="B67" i="1" s="1"/>
  <c r="B66" i="1" l="1"/>
  <c r="B68" i="1"/>
</calcChain>
</file>

<file path=xl/sharedStrings.xml><?xml version="1.0" encoding="utf-8"?>
<sst xmlns="http://schemas.openxmlformats.org/spreadsheetml/2006/main" count="70" uniqueCount="70">
  <si>
    <t>С</t>
  </si>
  <si>
    <t>p</t>
  </si>
  <si>
    <t>Q</t>
  </si>
  <si>
    <t>q</t>
  </si>
  <si>
    <t>W</t>
  </si>
  <si>
    <t>Тиа</t>
  </si>
  <si>
    <t>Тбс</t>
  </si>
  <si>
    <t>Тп</t>
  </si>
  <si>
    <t>Тотл</t>
  </si>
  <si>
    <t>Тдр</t>
  </si>
  <si>
    <t>Тдо</t>
  </si>
  <si>
    <t>К</t>
  </si>
  <si>
    <t>Трз</t>
  </si>
  <si>
    <t>Зрз</t>
  </si>
  <si>
    <t>ТС</t>
  </si>
  <si>
    <t>tчр</t>
  </si>
  <si>
    <t>а</t>
  </si>
  <si>
    <t>b</t>
  </si>
  <si>
    <t>Сэ</t>
  </si>
  <si>
    <t>Фэвм</t>
  </si>
  <si>
    <t>Аэвм</t>
  </si>
  <si>
    <t>Спр</t>
  </si>
  <si>
    <t>Пр</t>
  </si>
  <si>
    <t>Цмин</t>
  </si>
  <si>
    <r>
      <t xml:space="preserve"> </t>
    </r>
    <r>
      <rPr>
        <i/>
        <sz val="13"/>
        <color theme="1"/>
        <rFont val="Times New Roman"/>
        <family val="1"/>
        <charset val="204"/>
      </rPr>
      <t>Т</t>
    </r>
    <r>
      <rPr>
        <i/>
        <vertAlign val="subscript"/>
        <sz val="13"/>
        <color theme="1"/>
        <rFont val="Times New Roman"/>
        <family val="1"/>
        <charset val="204"/>
      </rPr>
      <t>р</t>
    </r>
    <r>
      <rPr>
        <sz val="13"/>
        <color theme="1"/>
        <rFont val="Times New Roman"/>
        <family val="1"/>
        <charset val="204"/>
      </rPr>
      <t xml:space="preserve"> </t>
    </r>
  </si>
  <si>
    <r>
      <t>Т</t>
    </r>
    <r>
      <rPr>
        <i/>
        <vertAlign val="subscript"/>
        <sz val="13"/>
        <color theme="1"/>
        <rFont val="Times New Roman"/>
        <family val="1"/>
        <charset val="204"/>
      </rPr>
      <t>выв</t>
    </r>
    <r>
      <rPr>
        <sz val="13"/>
        <color theme="1"/>
        <rFont val="Times New Roman"/>
        <family val="1"/>
        <charset val="204"/>
      </rPr>
      <t xml:space="preserve"> </t>
    </r>
  </si>
  <si>
    <r>
      <t>d</t>
    </r>
    <r>
      <rPr>
        <i/>
        <vertAlign val="subscript"/>
        <sz val="13"/>
        <color theme="1"/>
        <rFont val="Times New Roman"/>
        <family val="1"/>
        <charset val="204"/>
      </rPr>
      <t xml:space="preserve">пз </t>
    </r>
  </si>
  <si>
    <r>
      <t>H</t>
    </r>
    <r>
      <rPr>
        <i/>
        <vertAlign val="subscript"/>
        <sz val="13"/>
        <color theme="1"/>
        <rFont val="Times New Roman"/>
        <family val="1"/>
        <charset val="204"/>
      </rPr>
      <t>z</t>
    </r>
  </si>
  <si>
    <t>Твв</t>
  </si>
  <si>
    <r>
      <t>К</t>
    </r>
    <r>
      <rPr>
        <i/>
        <vertAlign val="subscript"/>
        <sz val="13"/>
        <color theme="1"/>
        <rFont val="Times New Roman"/>
        <family val="1"/>
        <charset val="204"/>
      </rPr>
      <t>z</t>
    </r>
  </si>
  <si>
    <t>Тз</t>
  </si>
  <si>
    <t>Зп</t>
  </si>
  <si>
    <t>к</t>
  </si>
  <si>
    <t>Зр</t>
  </si>
  <si>
    <t xml:space="preserve"> Тр вручную</t>
  </si>
  <si>
    <t>За</t>
  </si>
  <si>
    <r>
      <t>k</t>
    </r>
    <r>
      <rPr>
        <vertAlign val="subscript"/>
        <sz val="11"/>
        <color theme="1"/>
        <rFont val="Calibri"/>
        <family val="2"/>
        <charset val="204"/>
        <scheme val="minor"/>
      </rPr>
      <t>пр</t>
    </r>
  </si>
  <si>
    <r>
      <t>N</t>
    </r>
    <r>
      <rPr>
        <vertAlign val="subscript"/>
        <sz val="11"/>
        <color theme="1"/>
        <rFont val="Calibri"/>
        <family val="2"/>
        <charset val="204"/>
        <scheme val="minor"/>
      </rPr>
      <t>э</t>
    </r>
  </si>
  <si>
    <r>
      <t>k</t>
    </r>
    <r>
      <rPr>
        <vertAlign val="subscript"/>
        <sz val="11"/>
        <color theme="1"/>
        <rFont val="Calibri"/>
        <family val="2"/>
        <charset val="204"/>
        <scheme val="minor"/>
      </rPr>
      <t>ис</t>
    </r>
    <r>
      <rPr>
        <sz val="11"/>
        <color theme="1"/>
        <rFont val="Calibri"/>
        <family val="2"/>
        <charset val="204"/>
        <scheme val="minor"/>
      </rPr>
      <t xml:space="preserve"> </t>
    </r>
  </si>
  <si>
    <r>
      <t>Ц</t>
    </r>
    <r>
      <rPr>
        <vertAlign val="subscript"/>
        <sz val="11"/>
        <color theme="1"/>
        <rFont val="Calibri"/>
        <family val="2"/>
        <charset val="204"/>
        <scheme val="minor"/>
      </rPr>
      <t>э</t>
    </r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</si>
  <si>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сс</t>
    </r>
  </si>
  <si>
    <r>
      <t>Т</t>
    </r>
    <r>
      <rPr>
        <vertAlign val="subscript"/>
        <sz val="11"/>
        <color theme="1"/>
        <rFont val="Calibri"/>
        <family val="2"/>
        <charset val="204"/>
        <scheme val="minor"/>
      </rPr>
      <t>сг</t>
    </r>
    <r>
      <rPr>
        <sz val="11"/>
        <color theme="1"/>
        <rFont val="Calibri"/>
        <family val="2"/>
        <charset val="204"/>
        <scheme val="minor"/>
      </rPr>
      <t xml:space="preserve"> </t>
    </r>
  </si>
  <si>
    <r>
      <t xml:space="preserve"> Ц</t>
    </r>
    <r>
      <rPr>
        <vertAlign val="subscript"/>
        <sz val="11"/>
        <color theme="1"/>
        <rFont val="Calibri"/>
        <family val="2"/>
        <charset val="204"/>
        <scheme val="minor"/>
      </rPr>
      <t>эвм</t>
    </r>
  </si>
  <si>
    <r>
      <t>k</t>
    </r>
    <r>
      <rPr>
        <vertAlign val="subscript"/>
        <sz val="11"/>
        <color theme="1"/>
        <rFont val="Calibri"/>
        <family val="2"/>
        <charset val="204"/>
        <scheme val="minor"/>
      </rPr>
      <t>у</t>
    </r>
  </si>
  <si>
    <r>
      <t>k</t>
    </r>
    <r>
      <rPr>
        <vertAlign val="subscript"/>
        <sz val="11"/>
        <color theme="1"/>
        <rFont val="Calibri"/>
        <family val="2"/>
        <charset val="204"/>
        <scheme val="minor"/>
      </rPr>
      <t>м</t>
    </r>
  </si>
  <si>
    <t>Рэвм</t>
  </si>
  <si>
    <r>
      <t>k</t>
    </r>
    <r>
      <rPr>
        <vertAlign val="subscript"/>
        <sz val="13"/>
        <color theme="1"/>
        <rFont val="Times New Roman"/>
        <family val="1"/>
        <charset val="204"/>
      </rPr>
      <t>ро</t>
    </r>
  </si>
  <si>
    <t>Рар</t>
  </si>
  <si>
    <r>
      <t>S</t>
    </r>
    <r>
      <rPr>
        <i/>
        <vertAlign val="subscript"/>
        <sz val="13"/>
        <color theme="1"/>
        <rFont val="Times New Roman"/>
        <family val="1"/>
        <charset val="204"/>
      </rPr>
      <t>эвм</t>
    </r>
    <r>
      <rPr>
        <sz val="13"/>
        <color theme="1"/>
        <rFont val="Times New Roman"/>
        <family val="1"/>
        <charset val="204"/>
      </rPr>
      <t xml:space="preserve"> </t>
    </r>
  </si>
  <si>
    <r>
      <t>k</t>
    </r>
    <r>
      <rPr>
        <i/>
        <vertAlign val="subscript"/>
        <sz val="13"/>
        <color theme="1"/>
        <rFont val="Times New Roman"/>
        <family val="1"/>
        <charset val="204"/>
      </rPr>
      <t>д</t>
    </r>
  </si>
  <si>
    <r>
      <t>k</t>
    </r>
    <r>
      <rPr>
        <i/>
        <vertAlign val="subscript"/>
        <sz val="13"/>
        <color theme="1"/>
        <rFont val="Times New Roman"/>
        <family val="1"/>
        <charset val="204"/>
      </rPr>
      <t>ар</t>
    </r>
    <r>
      <rPr>
        <sz val="13"/>
        <color theme="1"/>
        <rFont val="Times New Roman"/>
        <family val="1"/>
        <charset val="204"/>
      </rPr>
      <t xml:space="preserve"> </t>
    </r>
  </si>
  <si>
    <r>
      <t>k</t>
    </r>
    <r>
      <rPr>
        <i/>
        <vertAlign val="subscript"/>
        <sz val="13"/>
        <color theme="1"/>
        <rFont val="Times New Roman"/>
        <family val="1"/>
        <charset val="204"/>
      </rPr>
      <t>комф</t>
    </r>
  </si>
  <si>
    <r>
      <t>k</t>
    </r>
    <r>
      <rPr>
        <i/>
        <vertAlign val="subscript"/>
        <sz val="13"/>
        <color theme="1"/>
        <rFont val="Times New Roman"/>
        <family val="1"/>
        <charset val="204"/>
      </rPr>
      <t>пов</t>
    </r>
  </si>
  <si>
    <t>Sмч</t>
  </si>
  <si>
    <r>
      <t>А</t>
    </r>
    <r>
      <rPr>
        <i/>
        <vertAlign val="subscript"/>
        <sz val="13"/>
        <color theme="1"/>
        <rFont val="Times New Roman"/>
        <family val="1"/>
        <charset val="204"/>
      </rPr>
      <t xml:space="preserve">нма </t>
    </r>
  </si>
  <si>
    <t>Зот</t>
  </si>
  <si>
    <t>F</t>
  </si>
  <si>
    <r>
      <t>Н</t>
    </r>
    <r>
      <rPr>
        <i/>
        <vertAlign val="subscript"/>
        <sz val="13"/>
        <color theme="1"/>
        <rFont val="Times New Roman"/>
        <family val="1"/>
        <charset val="204"/>
      </rPr>
      <t>п</t>
    </r>
  </si>
  <si>
    <t>Зт</t>
  </si>
  <si>
    <r>
      <t>С</t>
    </r>
    <r>
      <rPr>
        <i/>
        <vertAlign val="subscript"/>
        <sz val="13"/>
        <color theme="1"/>
        <rFont val="Times New Roman"/>
        <family val="1"/>
        <charset val="204"/>
      </rPr>
      <t>нп</t>
    </r>
    <r>
      <rPr>
        <sz val="13"/>
        <color theme="1"/>
        <rFont val="Times New Roman"/>
        <family val="1"/>
        <charset val="204"/>
      </rPr>
      <t xml:space="preserve"> </t>
    </r>
  </si>
  <si>
    <t>Цпр</t>
  </si>
  <si>
    <t>Цпл</t>
  </si>
  <si>
    <t>НДС</t>
  </si>
  <si>
    <r>
      <t>И</t>
    </r>
    <r>
      <rPr>
        <i/>
        <vertAlign val="subscript"/>
        <sz val="13"/>
        <color theme="1"/>
        <rFont val="Times New Roman"/>
        <family val="1"/>
        <charset val="204"/>
      </rPr>
      <t>з</t>
    </r>
    <r>
      <rPr>
        <sz val="13"/>
        <color theme="1"/>
        <rFont val="Times New Roman"/>
        <family val="1"/>
        <charset val="204"/>
      </rPr>
      <t xml:space="preserve"> </t>
    </r>
  </si>
  <si>
    <t>Rак</t>
  </si>
  <si>
    <t>Тв</t>
  </si>
  <si>
    <t>Е</t>
  </si>
  <si>
    <t>Цена потребления (при сроке службы 3 года)</t>
  </si>
  <si>
    <t>Экономия затрат на ЗП проектировщика за счет автоматизации труда, руб.</t>
  </si>
  <si>
    <t>Экономия отчислений в социальные фонды,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</si>
</sst>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3"/>
      <color theme="1"/>
      <name val="Times New Roman"/>
      <family val="1"/>
      <charset val="204"/>
    </font>
    <font>
      <i/>
      <sz val="13"/>
      <color theme="1"/>
      <name val="Times New Roman"/>
      <family val="1"/>
      <charset val="204"/>
    </font>
    <font>
      <i/>
      <vertAlign val="subscript"/>
      <sz val="13"/>
      <color theme="1"/>
      <name val="Times New Roman"/>
      <family val="1"/>
      <charset val="204"/>
    </font>
    <font>
      <vertAlign val="subscript"/>
      <sz val="13"/>
      <color theme="1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2" fillId="0" borderId="0" xfId="0" applyFont="1"/>
    <xf numFmtId="0" fontId="7" fillId="2" borderId="1" xfId="0" applyFont="1" applyFill="1" applyBorder="1" applyAlignment="1">
      <alignment horizontal="center" vertical="center" wrapText="1"/>
    </xf>
    <xf numFmtId="9" fontId="2" fillId="0" borderId="1" xfId="0" applyNumberFormat="1" applyFont="1" applyBorder="1"/>
    <xf numFmtId="0" fontId="2" fillId="0" borderId="2" xfId="0" applyFont="1" applyBorder="1"/>
    <xf numFmtId="4" fontId="2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18</xdr:row>
      <xdr:rowOff>0</xdr:rowOff>
    </xdr:from>
    <xdr:to>
      <xdr:col>8</xdr:col>
      <xdr:colOff>314325</xdr:colOff>
      <xdr:row>18</xdr:row>
      <xdr:rowOff>238125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21A12ED1-EF8F-C489-318F-E0AC88056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505200"/>
          <a:ext cx="3143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209550</xdr:colOff>
      <xdr:row>62</xdr:row>
      <xdr:rowOff>47625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2F4082D-E63B-1D12-7B25-B4746DA99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06250"/>
          <a:ext cx="2095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190500</xdr:colOff>
      <xdr:row>65</xdr:row>
      <xdr:rowOff>47625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CC819EC1-EE5E-8F08-351E-71AABA155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34900"/>
          <a:ext cx="1905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180975</xdr:colOff>
      <xdr:row>61</xdr:row>
      <xdr:rowOff>47625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C9D8E16A-B33E-CB78-8FDD-1E53ACB09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5" y="11715750"/>
          <a:ext cx="1809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219075</xdr:colOff>
      <xdr:row>68</xdr:row>
      <xdr:rowOff>47625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DAFFD72D-B725-1EFD-565C-0D6FC8C50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"/>
          <a:ext cx="2190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304800</xdr:colOff>
      <xdr:row>25</xdr:row>
      <xdr:rowOff>57150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A6FCBDB-013A-3DAD-B7CA-D22F2BD52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5" y="4743450"/>
          <a:ext cx="3048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428625</xdr:colOff>
      <xdr:row>24</xdr:row>
      <xdr:rowOff>123825</xdr:rowOff>
    </xdr:from>
    <xdr:to>
      <xdr:col>10</xdr:col>
      <xdr:colOff>266700</xdr:colOff>
      <xdr:row>27</xdr:row>
      <xdr:rowOff>19050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6314C6C-EE07-F047-F4E0-D0C7789A2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4867275"/>
          <a:ext cx="349567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466725</xdr:colOff>
      <xdr:row>27</xdr:row>
      <xdr:rowOff>152400</xdr:rowOff>
    </xdr:from>
    <xdr:to>
      <xdr:col>6</xdr:col>
      <xdr:colOff>304800</xdr:colOff>
      <xdr:row>29</xdr:row>
      <xdr:rowOff>9525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129A402-D481-3688-F817-10CFCFFA9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5467350"/>
          <a:ext cx="10572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57" zoomScaleNormal="100" workbookViewId="0">
      <selection activeCell="A78" sqref="A78"/>
    </sheetView>
  </sheetViews>
  <sheetFormatPr defaultRowHeight="15" x14ac:dyDescent="0.25"/>
  <cols>
    <col min="1" max="1" width="8.140625" customWidth="1"/>
  </cols>
  <sheetData>
    <row r="1" spans="1:10" ht="18" x14ac:dyDescent="0.35">
      <c r="A1" s="6" t="s">
        <v>3</v>
      </c>
      <c r="B1" s="6" t="s">
        <v>0</v>
      </c>
      <c r="C1" s="6" t="s">
        <v>1</v>
      </c>
      <c r="D1" s="6" t="s">
        <v>4</v>
      </c>
      <c r="E1" s="6" t="s">
        <v>11</v>
      </c>
      <c r="F1" s="6" t="s">
        <v>14</v>
      </c>
      <c r="G1" s="6" t="s">
        <v>36</v>
      </c>
      <c r="H1" s="6" t="s">
        <v>16</v>
      </c>
      <c r="I1" s="6" t="s">
        <v>17</v>
      </c>
      <c r="J1" s="7"/>
    </row>
    <row r="2" spans="1:10" x14ac:dyDescent="0.25">
      <c r="A2" s="8">
        <v>750</v>
      </c>
      <c r="B2" s="6">
        <v>1.08</v>
      </c>
      <c r="C2" s="6">
        <v>0.3</v>
      </c>
      <c r="D2" s="6">
        <v>1.35</v>
      </c>
      <c r="E2" s="6">
        <v>0.8</v>
      </c>
      <c r="F2" s="11">
        <v>656</v>
      </c>
      <c r="G2" s="6">
        <v>0.35</v>
      </c>
      <c r="H2" s="6">
        <v>0.15</v>
      </c>
      <c r="I2" s="6">
        <v>0.34599999999999997</v>
      </c>
      <c r="J2" s="7"/>
    </row>
    <row r="3" spans="1:10" x14ac:dyDescent="0.25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6">
        <f>ROUND(A2*B2*(1+C2),4)</f>
        <v>1053</v>
      </c>
      <c r="B5" s="7"/>
      <c r="C5" s="7"/>
      <c r="D5" s="7"/>
      <c r="E5" s="7"/>
      <c r="F5" s="7"/>
      <c r="G5" s="7"/>
      <c r="H5" s="7"/>
      <c r="I5" s="7"/>
      <c r="J5" s="7"/>
    </row>
    <row r="6" spans="1:10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6" t="s">
        <v>5</v>
      </c>
      <c r="B7" s="6">
        <f>ROUND((A5*D2)/(D7*E2),2)</f>
        <v>20.91</v>
      </c>
      <c r="C7" s="7"/>
      <c r="D7" s="6">
        <v>85</v>
      </c>
      <c r="E7" s="7"/>
      <c r="F7" s="7">
        <v>20.905147058823498</v>
      </c>
      <c r="G7" s="7"/>
      <c r="H7" s="7"/>
      <c r="I7" s="7"/>
      <c r="J7" s="7"/>
    </row>
    <row r="8" spans="1:10" x14ac:dyDescent="0.25">
      <c r="A8" s="6" t="s">
        <v>6</v>
      </c>
      <c r="B8" s="6">
        <f>ROUND((A5)/(D8*E2),2)</f>
        <v>52.65</v>
      </c>
      <c r="C8" s="7"/>
      <c r="D8" s="6">
        <v>25</v>
      </c>
      <c r="E8" s="7"/>
      <c r="F8" s="7"/>
      <c r="G8" s="7"/>
      <c r="H8" s="7"/>
      <c r="I8" s="7"/>
      <c r="J8" s="7"/>
    </row>
    <row r="9" spans="1:10" x14ac:dyDescent="0.25">
      <c r="A9" s="6" t="s">
        <v>7</v>
      </c>
      <c r="B9" s="6">
        <f>ROUND((A5)/(D9*E2),2)</f>
        <v>52.65</v>
      </c>
      <c r="C9" s="7"/>
      <c r="D9" s="6">
        <v>25</v>
      </c>
      <c r="E9" s="7"/>
      <c r="F9" s="7"/>
      <c r="G9" s="7"/>
      <c r="H9" s="7"/>
      <c r="I9" s="7"/>
      <c r="J9" s="7"/>
    </row>
    <row r="10" spans="1:10" x14ac:dyDescent="0.25">
      <c r="A10" s="6" t="s">
        <v>8</v>
      </c>
      <c r="B10" s="6">
        <f>(A5)/(D10*E2)</f>
        <v>263.25</v>
      </c>
      <c r="C10" s="7"/>
      <c r="D10" s="6">
        <v>5</v>
      </c>
      <c r="E10" s="7"/>
      <c r="F10" s="7"/>
      <c r="G10" s="7"/>
      <c r="H10" s="7"/>
      <c r="I10" s="7"/>
      <c r="J10" s="7"/>
    </row>
    <row r="11" spans="1:10" x14ac:dyDescent="0.25">
      <c r="A11" s="6" t="s">
        <v>9</v>
      </c>
      <c r="B11" s="6">
        <f>ROUND((A5)/(D11*E2),2)</f>
        <v>65.81</v>
      </c>
      <c r="C11" s="7"/>
      <c r="D11" s="6">
        <v>20</v>
      </c>
      <c r="E11" s="7"/>
      <c r="F11" s="7"/>
      <c r="G11" s="7"/>
      <c r="H11" s="7"/>
      <c r="I11" s="7"/>
      <c r="J11" s="7"/>
    </row>
    <row r="12" spans="1:10" x14ac:dyDescent="0.25">
      <c r="A12" s="6" t="s">
        <v>10</v>
      </c>
      <c r="B12" s="6">
        <f>ROUND(0.75*B11,2)</f>
        <v>49.36</v>
      </c>
      <c r="C12" s="7"/>
      <c r="D12" s="7"/>
      <c r="E12" s="7"/>
      <c r="F12" s="7"/>
      <c r="G12" s="7"/>
      <c r="H12" s="7"/>
      <c r="I12" s="7"/>
      <c r="J12" s="7"/>
    </row>
    <row r="13" spans="1:10" x14ac:dyDescent="0.25">
      <c r="A13" s="6" t="s">
        <v>12</v>
      </c>
      <c r="B13" s="6">
        <f>ROUND(SUM(B7:B12),2)</f>
        <v>504.63</v>
      </c>
      <c r="C13" s="7"/>
      <c r="D13" s="7"/>
      <c r="E13" s="7"/>
      <c r="F13" s="7"/>
      <c r="G13" s="7"/>
      <c r="H13" s="7"/>
      <c r="I13" s="7"/>
      <c r="J13" s="7"/>
    </row>
    <row r="14" spans="1:1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5">
      <c r="A15" s="6" t="s">
        <v>15</v>
      </c>
      <c r="B15" s="6">
        <f>ROUND(F2/170,4)</f>
        <v>3.8588</v>
      </c>
      <c r="C15" s="7"/>
      <c r="D15" s="7"/>
      <c r="E15" s="7"/>
      <c r="F15" s="7"/>
      <c r="G15" s="7"/>
      <c r="H15" s="7"/>
      <c r="I15" s="7"/>
      <c r="J15" s="7"/>
    </row>
    <row r="16" spans="1:10" x14ac:dyDescent="0.25">
      <c r="A16" s="6" t="s">
        <v>13</v>
      </c>
      <c r="B16" s="6">
        <f>ROUND(B13*B15*(1+G2)*(1+H2)*(1+I2),2)</f>
        <v>4069.13</v>
      </c>
      <c r="C16" s="7"/>
      <c r="D16" s="7"/>
      <c r="E16" s="7"/>
      <c r="F16" s="7"/>
      <c r="G16" s="7"/>
      <c r="H16" s="7"/>
      <c r="I16" s="7"/>
      <c r="J16" s="7"/>
    </row>
    <row r="17" spans="1:17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7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7" ht="19.5" x14ac:dyDescent="0.35">
      <c r="A19" s="6" t="s">
        <v>37</v>
      </c>
      <c r="B19" s="6" t="s">
        <v>38</v>
      </c>
      <c r="C19" s="6" t="s">
        <v>39</v>
      </c>
      <c r="D19" s="6" t="s">
        <v>40</v>
      </c>
      <c r="E19" s="6" t="s">
        <v>41</v>
      </c>
      <c r="F19" s="6" t="s">
        <v>42</v>
      </c>
      <c r="G19" s="6" t="s">
        <v>43</v>
      </c>
      <c r="H19" s="6" t="s">
        <v>44</v>
      </c>
      <c r="I19" s="6"/>
      <c r="J19" s="5" t="s">
        <v>46</v>
      </c>
      <c r="K19" s="4" t="s">
        <v>48</v>
      </c>
      <c r="L19" s="4" t="s">
        <v>49</v>
      </c>
      <c r="M19" s="4" t="s">
        <v>50</v>
      </c>
      <c r="N19" s="4" t="s">
        <v>51</v>
      </c>
      <c r="O19" s="4" t="s">
        <v>52</v>
      </c>
      <c r="P19" s="4" t="s">
        <v>56</v>
      </c>
      <c r="Q19" s="4" t="s">
        <v>57</v>
      </c>
    </row>
    <row r="20" spans="1:17" ht="16.5" x14ac:dyDescent="0.25">
      <c r="A20" s="6">
        <v>0.5</v>
      </c>
      <c r="B20" s="6">
        <v>0.9</v>
      </c>
      <c r="C20" s="6">
        <v>0.35339999999999999</v>
      </c>
      <c r="D20" s="6">
        <v>8</v>
      </c>
      <c r="E20" s="6">
        <v>250</v>
      </c>
      <c r="F20" s="6">
        <v>2895</v>
      </c>
      <c r="G20" s="6">
        <v>1</v>
      </c>
      <c r="H20" s="6">
        <v>1.05</v>
      </c>
      <c r="I20" s="9">
        <v>0.2</v>
      </c>
      <c r="J20" s="5">
        <v>0.13</v>
      </c>
      <c r="K20" s="5">
        <v>2</v>
      </c>
      <c r="L20" s="5">
        <v>3</v>
      </c>
      <c r="M20" s="5">
        <v>120</v>
      </c>
      <c r="N20" s="5">
        <v>1</v>
      </c>
      <c r="O20" s="5">
        <v>0.9</v>
      </c>
      <c r="P20" s="5">
        <v>1.2</v>
      </c>
      <c r="Q20" s="5">
        <v>0.25</v>
      </c>
    </row>
    <row r="21" spans="1:1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7" ht="19.5" x14ac:dyDescent="0.35">
      <c r="A22" s="6" t="s">
        <v>18</v>
      </c>
      <c r="B22" s="6">
        <f>ROUND(A20*B20*C20,4)</f>
        <v>0.159</v>
      </c>
      <c r="C22" s="7"/>
      <c r="D22" s="4" t="s">
        <v>54</v>
      </c>
      <c r="E22" s="7"/>
      <c r="F22" s="7"/>
      <c r="G22" s="7"/>
      <c r="H22" s="7"/>
      <c r="I22" s="7"/>
      <c r="J22" s="7"/>
    </row>
    <row r="23" spans="1:17" x14ac:dyDescent="0.25">
      <c r="A23" s="6" t="s">
        <v>19</v>
      </c>
      <c r="B23" s="6">
        <f>ROUND(D20*E20,2)</f>
        <v>2000</v>
      </c>
      <c r="C23" s="7"/>
      <c r="D23" s="6">
        <v>195.96</v>
      </c>
      <c r="E23" s="7"/>
      <c r="F23" s="7"/>
      <c r="G23" s="7"/>
      <c r="H23" s="7"/>
      <c r="I23" s="7"/>
      <c r="J23" s="7"/>
    </row>
    <row r="24" spans="1:17" x14ac:dyDescent="0.25">
      <c r="A24" s="6" t="s">
        <v>20</v>
      </c>
      <c r="B24" s="6">
        <f>ROUND(F20*H20*I20,2)</f>
        <v>607.95000000000005</v>
      </c>
      <c r="C24" s="7"/>
      <c r="D24" s="7"/>
      <c r="E24" s="7"/>
      <c r="F24" s="7"/>
      <c r="G24" s="7"/>
      <c r="H24" s="7"/>
      <c r="I24" s="7"/>
      <c r="J24" s="7"/>
    </row>
    <row r="25" spans="1:17" x14ac:dyDescent="0.25">
      <c r="A25" s="6" t="s">
        <v>45</v>
      </c>
      <c r="B25" s="6">
        <f>ROUND(D26*J20,2)</f>
        <v>395.17</v>
      </c>
      <c r="C25" s="7"/>
      <c r="E25" s="7"/>
      <c r="F25" s="7"/>
      <c r="G25" s="7"/>
      <c r="H25" s="7"/>
      <c r="I25" s="7"/>
      <c r="J25" s="7"/>
    </row>
    <row r="26" spans="1:17" x14ac:dyDescent="0.25">
      <c r="A26" s="6" t="s">
        <v>47</v>
      </c>
      <c r="B26" s="6">
        <f>K20*M20*N20*O20*L20*12</f>
        <v>7776</v>
      </c>
      <c r="C26" s="7"/>
      <c r="D26" s="7">
        <f>ROUND(F20*H20*G20,2)</f>
        <v>3039.75</v>
      </c>
      <c r="E26" s="7"/>
      <c r="F26" s="7"/>
      <c r="G26" s="7"/>
      <c r="H26" s="7"/>
      <c r="I26" s="7"/>
      <c r="J26" s="7"/>
    </row>
    <row r="27" spans="1:17" x14ac:dyDescent="0.25">
      <c r="A27" s="6" t="s">
        <v>53</v>
      </c>
      <c r="B27" s="6">
        <f>ROUND(B22+(B24+B25+B26+D23)/B23,4)</f>
        <v>4.6464999999999996</v>
      </c>
      <c r="C27" s="7"/>
      <c r="D27" s="7"/>
      <c r="E27" s="7"/>
      <c r="G27" s="7"/>
      <c r="H27" s="7"/>
      <c r="I27" s="7"/>
      <c r="J27" s="7"/>
    </row>
    <row r="28" spans="1:17" x14ac:dyDescent="0.25">
      <c r="A28" s="10" t="s">
        <v>55</v>
      </c>
      <c r="B28" s="3">
        <f>ROUND(B10*B27,2)</f>
        <v>1223.19</v>
      </c>
      <c r="C28" s="7"/>
      <c r="D28" s="7"/>
      <c r="E28" s="7"/>
      <c r="F28" s="7"/>
      <c r="G28" s="7"/>
      <c r="H28" s="7"/>
      <c r="I28" s="7"/>
      <c r="J28" s="7"/>
    </row>
    <row r="29" spans="1:17" x14ac:dyDescent="0.25">
      <c r="A29" s="6" t="s">
        <v>21</v>
      </c>
      <c r="B29" s="6">
        <f>ROUND(B16*P20+B28,2)</f>
        <v>6106.15</v>
      </c>
      <c r="C29" s="7"/>
      <c r="D29" s="7"/>
      <c r="E29" s="7"/>
      <c r="F29" s="7"/>
      <c r="G29" s="7"/>
      <c r="H29" s="7"/>
      <c r="I29" s="7"/>
      <c r="J29" s="7"/>
    </row>
    <row r="30" spans="1:17" x14ac:dyDescent="0.25">
      <c r="A30" s="6" t="s">
        <v>22</v>
      </c>
      <c r="B30" s="6">
        <f>ROUND(B29*Q20,2)</f>
        <v>1526.54</v>
      </c>
      <c r="C30" s="7"/>
      <c r="D30" s="7"/>
      <c r="E30" s="7"/>
      <c r="F30" s="7"/>
      <c r="H30" s="7"/>
      <c r="I30" s="7"/>
      <c r="J30" s="7"/>
    </row>
    <row r="31" spans="1:17" x14ac:dyDescent="0.25">
      <c r="A31" s="6" t="s">
        <v>23</v>
      </c>
      <c r="B31" s="6">
        <f>ROUND(B29+B30,2)</f>
        <v>7632.69</v>
      </c>
      <c r="C31" s="7"/>
      <c r="D31" s="7"/>
      <c r="E31" s="7"/>
      <c r="F31" s="7"/>
      <c r="G31" s="7"/>
      <c r="H31" s="7"/>
      <c r="I31" s="7"/>
      <c r="J31" s="7"/>
    </row>
    <row r="32" spans="1:1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ht="16.5" x14ac:dyDescent="0.25">
      <c r="A34" s="4"/>
      <c r="B34" s="4"/>
    </row>
    <row r="35" spans="1:10" x14ac:dyDescent="0.25">
      <c r="A35" s="3"/>
      <c r="B35" s="3"/>
    </row>
    <row r="53" spans="1:11" ht="19.5" x14ac:dyDescent="0.35">
      <c r="A53" s="5" t="s">
        <v>24</v>
      </c>
      <c r="B53" s="4" t="s">
        <v>25</v>
      </c>
      <c r="C53" s="4" t="s">
        <v>26</v>
      </c>
      <c r="D53" s="4" t="s">
        <v>27</v>
      </c>
      <c r="E53" s="4" t="s">
        <v>29</v>
      </c>
      <c r="F53" s="4" t="s">
        <v>34</v>
      </c>
      <c r="G53" s="4" t="s">
        <v>32</v>
      </c>
      <c r="H53" s="4" t="s">
        <v>59</v>
      </c>
      <c r="I53" s="4" t="s">
        <v>62</v>
      </c>
      <c r="J53" s="4" t="s">
        <v>66</v>
      </c>
      <c r="K53" s="2"/>
    </row>
    <row r="54" spans="1:11" ht="16.5" x14ac:dyDescent="0.25">
      <c r="A54" s="3">
        <v>1</v>
      </c>
      <c r="B54" s="3">
        <v>3</v>
      </c>
      <c r="C54" s="5">
        <v>0.15</v>
      </c>
      <c r="D54" s="5">
        <v>6</v>
      </c>
      <c r="E54" s="5">
        <v>50</v>
      </c>
      <c r="F54" s="5">
        <v>1</v>
      </c>
      <c r="G54" s="5">
        <v>800</v>
      </c>
      <c r="H54" s="5">
        <v>0.2</v>
      </c>
      <c r="I54" s="5">
        <v>0.2</v>
      </c>
      <c r="J54" s="5">
        <v>0.105</v>
      </c>
    </row>
    <row r="57" spans="1:11" x14ac:dyDescent="0.25">
      <c r="A57" s="3" t="s">
        <v>28</v>
      </c>
      <c r="B57" s="3">
        <f>ROUND((E54*D54)/100,4)</f>
        <v>3</v>
      </c>
      <c r="D57" s="3" t="s">
        <v>33</v>
      </c>
      <c r="E57" s="3">
        <f>ROUND(F54*G54*B15*(1+G2)*(1+H2)*(1+I2),2)</f>
        <v>6450.88</v>
      </c>
    </row>
    <row r="58" spans="1:11" x14ac:dyDescent="0.25">
      <c r="A58" s="3" t="s">
        <v>30</v>
      </c>
      <c r="B58" s="3">
        <f>ROUND((A54+B54+B57)*((1+C54)/60),4)</f>
        <v>0.13420000000000001</v>
      </c>
    </row>
    <row r="59" spans="1:11" ht="16.5" x14ac:dyDescent="0.25">
      <c r="A59" s="4" t="s">
        <v>31</v>
      </c>
      <c r="B59" s="3">
        <f>ROUND(B58*G54*B15*(1+G2)*(1+H2)*(1+I2),2)</f>
        <v>865.71</v>
      </c>
      <c r="D59" t="s">
        <v>61</v>
      </c>
      <c r="E59">
        <f>B31</f>
        <v>7632.69</v>
      </c>
    </row>
    <row r="60" spans="1:11" x14ac:dyDescent="0.25">
      <c r="A60" s="3" t="s">
        <v>35</v>
      </c>
      <c r="B60" s="3">
        <f>ROUND(B58*G54*B27,2)</f>
        <v>498.85</v>
      </c>
    </row>
    <row r="61" spans="1:11" x14ac:dyDescent="0.25">
      <c r="A61" t="s">
        <v>58</v>
      </c>
      <c r="B61">
        <f>ROUND(B59+B60,2)</f>
        <v>1364.56</v>
      </c>
      <c r="E61">
        <f>ROUND(B24+D23,2)</f>
        <v>803.91</v>
      </c>
    </row>
    <row r="62" spans="1:11" x14ac:dyDescent="0.25">
      <c r="B62">
        <f>ROUND((E57-B61)*(1-H54),2)</f>
        <v>4069.06</v>
      </c>
    </row>
    <row r="63" spans="1:11" x14ac:dyDescent="0.25">
      <c r="A63" t="s">
        <v>60</v>
      </c>
      <c r="B63">
        <f>ROUND(E59*(1+I54),2)</f>
        <v>9159.23</v>
      </c>
    </row>
    <row r="64" spans="1:11" ht="19.5" x14ac:dyDescent="0.35">
      <c r="A64" s="2" t="s">
        <v>63</v>
      </c>
      <c r="B64">
        <f>ROUND((D26*B58*G54)/B23,2)</f>
        <v>163.16999999999999</v>
      </c>
    </row>
    <row r="65" spans="1:2" x14ac:dyDescent="0.25">
      <c r="B65">
        <f>ROUND(B64+E59,2)</f>
        <v>7795.86</v>
      </c>
    </row>
    <row r="66" spans="1:2" x14ac:dyDescent="0.25">
      <c r="A66" t="s">
        <v>64</v>
      </c>
      <c r="B66">
        <f>ROUND(B62/B65*100,2)</f>
        <v>52.2</v>
      </c>
    </row>
    <row r="67" spans="1:2" x14ac:dyDescent="0.25">
      <c r="A67" t="s">
        <v>65</v>
      </c>
      <c r="B67">
        <f>ROUND(B65/(B62+E61),4)</f>
        <v>1.5998000000000001</v>
      </c>
    </row>
    <row r="68" spans="1:2" x14ac:dyDescent="0.25">
      <c r="B68">
        <f>ROUND(B62-J54*B65,2)</f>
        <v>3250.49</v>
      </c>
    </row>
    <row r="70" spans="1:2" ht="16.5" x14ac:dyDescent="0.25">
      <c r="A70" s="1" t="s">
        <v>67</v>
      </c>
    </row>
    <row r="73" spans="1:2" ht="16.5" x14ac:dyDescent="0.25">
      <c r="A73" s="1" t="s">
        <v>68</v>
      </c>
    </row>
    <row r="74" spans="1:2" x14ac:dyDescent="0.25">
      <c r="A74">
        <f>E57-B59</f>
        <v>5585.17</v>
      </c>
    </row>
    <row r="76" spans="1:2" ht="16.5" x14ac:dyDescent="0.25">
      <c r="A76" s="1" t="s">
        <v>69</v>
      </c>
    </row>
    <row r="77" spans="1:2" x14ac:dyDescent="0.25">
      <c r="A77">
        <f>(E57*I2)-(B59*I2)</f>
        <v>1932.4688200000001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Vysotsky</dc:creator>
  <cp:lastModifiedBy>Maxim Vysotsky</cp:lastModifiedBy>
  <dcterms:created xsi:type="dcterms:W3CDTF">2015-06-05T18:19:34Z</dcterms:created>
  <dcterms:modified xsi:type="dcterms:W3CDTF">2025-05-03T15:36:16Z</dcterms:modified>
</cp:coreProperties>
</file>